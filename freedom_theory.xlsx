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18eb622fb775cc/Desktop/"/>
    </mc:Choice>
  </mc:AlternateContent>
  <xr:revisionPtr revIDLastSave="0" documentId="8_{64C95F54-D10E-4469-8172-10754643EC26}" xr6:coauthVersionLast="47" xr6:coauthVersionMax="47" xr10:uidLastSave="{00000000-0000-0000-0000-000000000000}"/>
  <bookViews>
    <workbookView xWindow="-110" yWindow="-110" windowWidth="19420" windowHeight="10300" firstSheet="1" activeTab="4" xr2:uid="{F3626B11-CF37-494E-8ED6-99661773F1C2}"/>
  </bookViews>
  <sheets>
    <sheet name="Sheet1" sheetId="1" r:id="rId1"/>
    <sheet name="Sweep" sheetId="2" r:id="rId2"/>
    <sheet name="Pair1000" sheetId="3" r:id="rId3"/>
    <sheet name="Intensity" sheetId="4" r:id="rId4"/>
    <sheet name="Summ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5" i="5"/>
  <c r="E6" i="5"/>
  <c r="E7" i="5"/>
  <c r="G4" i="4"/>
  <c r="D8" i="4"/>
  <c r="D7" i="4"/>
  <c r="D6" i="4"/>
  <c r="D5" i="4"/>
  <c r="D4" i="4"/>
  <c r="G4" i="3"/>
  <c r="D8" i="3"/>
  <c r="D7" i="3"/>
  <c r="D6" i="3"/>
  <c r="D5" i="3"/>
  <c r="D4" i="3"/>
  <c r="K16" i="2"/>
  <c r="K15" i="2"/>
  <c r="K14" i="2"/>
  <c r="K13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</calcChain>
</file>

<file path=xl/sharedStrings.xml><?xml version="1.0" encoding="utf-8"?>
<sst xmlns="http://schemas.openxmlformats.org/spreadsheetml/2006/main" count="77" uniqueCount="67">
  <si>
    <t>Simulation Sweep Analysis</t>
  </si>
  <si>
    <t>N</t>
  </si>
  <si>
    <t>Mean DeltaPi</t>
  </si>
  <si>
    <t>Var DeltaPi</t>
  </si>
  <si>
    <t>Mean Score Diff (Mon - Priv)</t>
  </si>
  <si>
    <t>Var Score Diff</t>
  </si>
  <si>
    <t>SE DeltaPi</t>
  </si>
  <si>
    <t>95% CI Low</t>
  </si>
  <si>
    <t>95% CI High</t>
  </si>
  <si>
    <t>Seeds</t>
  </si>
  <si>
    <t>Notes</t>
  </si>
  <si>
    <t>1000 row originally from 3 seeds; edit if using 10</t>
  </si>
  <si>
    <t>Metric</t>
  </si>
  <si>
    <t>Value</t>
  </si>
  <si>
    <t>Mean DeltaPi (all rows)</t>
  </si>
  <si>
    <t>Min DeltaPi</t>
  </si>
  <si>
    <t>Max DeltaPi</t>
  </si>
  <si>
    <t>Mean Score Diff</t>
  </si>
  <si>
    <t>Interpretation</t>
  </si>
  <si>
    <t>Non-zero DeltaPi implies monitored and private behavior remain systematically different.</t>
  </si>
  <si>
    <t>Matched Conditions: N = 1000 Example</t>
  </si>
  <si>
    <t>Action</t>
  </si>
  <si>
    <t>Monitored</t>
  </si>
  <si>
    <t>Private</t>
  </si>
  <si>
    <t>Difference (Mon-Priv)</t>
  </si>
  <si>
    <t>E</t>
  </si>
  <si>
    <t>I</t>
  </si>
  <si>
    <t>R</t>
  </si>
  <si>
    <t>P</t>
  </si>
  <si>
    <t>C</t>
  </si>
  <si>
    <t>DeltaPi</t>
  </si>
  <si>
    <t>Score Difference (Mon-Priv)</t>
  </si>
  <si>
    <t>Small but persistent structural difference</t>
  </si>
  <si>
    <t>Main Claim</t>
  </si>
  <si>
    <t>Observed behavior differs systematically across constraint conditions</t>
  </si>
  <si>
    <t>Inference</t>
  </si>
  <si>
    <t>Alignment is not identifiable under fixed constraint conditions</t>
  </si>
  <si>
    <t>Continuous Monitoring Intensity</t>
  </si>
  <si>
    <t>Transparency t</t>
  </si>
  <si>
    <t>Mean Ti</t>
  </si>
  <si>
    <t>Weight-Adjusted Mean Ti</t>
  </si>
  <si>
    <t>Local Slope</t>
  </si>
  <si>
    <t>Overall slope dE[Ti]/dt</t>
  </si>
  <si>
    <t>Negative slope implies average moral score declines as monitoring increases</t>
  </si>
  <si>
    <t>Theory link</t>
  </si>
  <si>
    <t>Consistent with d(phi)/d(E_raw) &lt; 0</t>
  </si>
  <si>
    <t>Caution</t>
  </si>
  <si>
    <t>Phi is not directly measured here</t>
  </si>
  <si>
    <t>Empirical Summary</t>
  </si>
  <si>
    <t>Result</t>
  </si>
  <si>
    <t>Statement</t>
  </si>
  <si>
    <t>Convergence</t>
  </si>
  <si>
    <t>DeltaPi-hat(N) converges to E[DeltaPi] as N increases.</t>
  </si>
  <si>
    <t>Non-zero shift</t>
  </si>
  <si>
    <t>E[DeltaPi] &gt; 0 suggests monitored and private behavior remain systematically different.</t>
  </si>
  <si>
    <t>Outcome asymmetry</t>
  </si>
  <si>
    <t>E[Ti_monitored] &lt; E[Ti_private] on average.</t>
  </si>
  <si>
    <t>Observed behavior depends on constraint conditions, not solely intrinsic policy.</t>
  </si>
  <si>
    <t>Alignment is not identifiable under fixed constraint conditions.</t>
  </si>
  <si>
    <t>Lower bound</t>
  </si>
  <si>
    <t>Heuristic-agent effects likely understate sensitivity relative to agents that condition on monitoring.</t>
  </si>
  <si>
    <t>The simulation does not directly compute phi; results provide indirect support for the theory.</t>
  </si>
  <si>
    <t>Key Metric</t>
  </si>
  <si>
    <t>Formula / Value</t>
  </si>
  <si>
    <t>DeltaPi (N=1000 example)</t>
  </si>
  <si>
    <t>Mean Sweep DeltaPi</t>
  </si>
  <si>
    <t>Overall Intensity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</si>
</sst>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;[Red]\(0.0000\)"/>
    <numFmt numFmtId="166" formatCode="0.0%"/>
    <numFmt numFmtId="167" formatCode="0.000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DeltaPi vs Sample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Sweep!$A$3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Sweep!$A$4:$A$10</c:f>
              <c:numCache>
                <c:formatCode>0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9D-49C2-A9B9-00AC9DCC70AB}"/>
            </c:ext>
          </c:extLst>
        </c:ser>
        <c:ser>
          <c:idx val="1"/>
          <c:order val="1"/>
          <c:tx>
            <c:strRef>
              <c:f>Sweep!$B$3</c:f>
              <c:strCache>
                <c:ptCount val="1"/>
                <c:pt idx="0">
                  <c:v>Mean DeltaPi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Sweep!$B$4:$B$10</c:f>
              <c:numCache>
                <c:formatCode>0.0000</c:formatCode>
                <c:ptCount val="7"/>
                <c:pt idx="0">
                  <c:v>0.39700000000000002</c:v>
                </c:pt>
                <c:pt idx="1">
                  <c:v>0.26300000000000001</c:v>
                </c:pt>
                <c:pt idx="2">
                  <c:v>8.77E-2</c:v>
                </c:pt>
                <c:pt idx="3">
                  <c:v>6.0400000000000002E-2</c:v>
                </c:pt>
                <c:pt idx="4">
                  <c:v>3.9899999999999998E-2</c:v>
                </c:pt>
                <c:pt idx="5">
                  <c:v>5.0500000000000003E-2</c:v>
                </c:pt>
                <c:pt idx="6">
                  <c:v>2.9399999999999999E-2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9D-49C2-A9B9-00AC9DCC7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332752"/>
        <c:axId val="600521424"/>
      </c:lineChart>
      <c:catAx>
        <c:axId val="1442332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21424"/>
        <c:crosses val="autoZero"/>
        <c:auto val="1"/>
        <c:lblAlgn val="ctr"/>
        <c:lblOffset val="100"/>
        <c:noMultiLvlLbl val="0"/>
      </c:catAx>
      <c:valAx>
        <c:axId val="60052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DeltaPi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3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Action Distribution: Monitored vs Private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Pair1000!$B$3</c:f>
              <c:strCache>
                <c:ptCount val="1"/>
                <c:pt idx="0">
                  <c:v>Monitored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Pair1000!$A$4:$A$8</c:f>
              <c:strCache>
                <c:ptCount val="5"/>
                <c:pt idx="0">
                  <c:v>E</c:v>
                </c:pt>
                <c:pt idx="1">
                  <c:v>I</c:v>
                </c:pt>
                <c:pt idx="2">
                  <c:v>R</c:v>
                </c:pt>
                <c:pt idx="3">
                  <c:v>P</c:v>
                </c:pt>
                <c:pt idx="4">
                  <c:v>C</c:v>
                </c:pt>
              </c:strCache>
            </c:strRef>
          </c:cat>
          <c:val>
            <c:numRef>
              <c:f>Pair1000!$B$4:$B$8</c:f>
              <c:numCache>
                <c:formatCode>0.0%</c:formatCode>
                <c:ptCount val="5"/>
                <c:pt idx="0">
                  <c:v>0.11899999999999999</c:v>
                </c:pt>
                <c:pt idx="1">
                  <c:v>0.29399999999999998</c:v>
                </c:pt>
                <c:pt idx="2">
                  <c:v>0.34300000000000003</c:v>
                </c:pt>
                <c:pt idx="3">
                  <c:v>0.114</c:v>
                </c:pt>
                <c:pt idx="4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7-44B2-AE41-76C094E44E6C}"/>
            </c:ext>
          </c:extLst>
        </c:ser>
        <c:ser>
          <c:idx val="1"/>
          <c:order val="1"/>
          <c:tx>
            <c:strRef>
              <c:f>Pair1000!$C$3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Pair1000!$A$4:$A$8</c:f>
              <c:strCache>
                <c:ptCount val="5"/>
                <c:pt idx="0">
                  <c:v>E</c:v>
                </c:pt>
                <c:pt idx="1">
                  <c:v>I</c:v>
                </c:pt>
                <c:pt idx="2">
                  <c:v>R</c:v>
                </c:pt>
                <c:pt idx="3">
                  <c:v>P</c:v>
                </c:pt>
                <c:pt idx="4">
                  <c:v>C</c:v>
                </c:pt>
              </c:strCache>
            </c:strRef>
          </c:cat>
          <c:val>
            <c:numRef>
              <c:f>Pair1000!$C$4:$C$8</c:f>
              <c:numCache>
                <c:formatCode>0.0%</c:formatCode>
                <c:ptCount val="5"/>
                <c:pt idx="0">
                  <c:v>0.10299999999999999</c:v>
                </c:pt>
                <c:pt idx="1">
                  <c:v>0.32900000000000001</c:v>
                </c:pt>
                <c:pt idx="2">
                  <c:v>0.32400000000000001</c:v>
                </c:pt>
                <c:pt idx="3">
                  <c:v>0.106</c:v>
                </c:pt>
                <c:pt idx="4">
                  <c:v>0.13800000000000001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A7-44B2-AE41-76C094E44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518064"/>
        <c:axId val="600527184"/>
      </c:barChart>
      <c:catAx>
        <c:axId val="60051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27184"/>
        <c:crosses val="autoZero"/>
        <c:auto val="1"/>
        <c:lblAlgn val="ctr"/>
        <c:lblOffset val="100"/>
        <c:noMultiLvlLbl val="0"/>
      </c:catAx>
      <c:valAx>
        <c:axId val="60052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1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Monitoring Intensity vs Moral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Intensity!$A$3</c:f>
              <c:strCache>
                <c:ptCount val="1"/>
                <c:pt idx="0">
                  <c:v>Transparency 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Intensity!$A$4:$A$8</c:f>
              <c:numCache>
                <c:formatCode>0.000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84-4390-B07C-4119AC99C22A}"/>
            </c:ext>
          </c:extLst>
        </c:ser>
        <c:ser>
          <c:idx val="1"/>
          <c:order val="1"/>
          <c:tx>
            <c:strRef>
              <c:f>Intensity!$B$3</c:f>
              <c:strCache>
                <c:ptCount val="1"/>
                <c:pt idx="0">
                  <c:v>Mean Ti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Intensity!$B$4:$B$8</c:f>
              <c:numCache>
                <c:formatCode>0.000</c:formatCode>
                <c:ptCount val="5"/>
                <c:pt idx="0">
                  <c:v>0.55800000000000005</c:v>
                </c:pt>
                <c:pt idx="1">
                  <c:v>0.55200000000000005</c:v>
                </c:pt>
                <c:pt idx="2">
                  <c:v>0.55200000000000005</c:v>
                </c:pt>
                <c:pt idx="3">
                  <c:v>0.55000000000000004</c:v>
                </c:pt>
                <c:pt idx="4">
                  <c:v>0.54800000000000004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84-4390-B07C-4119AC99C22A}"/>
            </c:ext>
          </c:extLst>
        </c:ser>
        <c:ser>
          <c:idx val="2"/>
          <c:order val="2"/>
          <c:tx>
            <c:strRef>
              <c:f>Intensity!$C$3</c:f>
              <c:strCache>
                <c:ptCount val="1"/>
                <c:pt idx="0">
                  <c:v>Weight-Adjusted Mean Ti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Intensity!$C$4:$C$8</c:f>
              <c:numCache>
                <c:formatCode>0.000</c:formatCode>
                <c:ptCount val="5"/>
                <c:pt idx="0">
                  <c:v>0.60699999999999998</c:v>
                </c:pt>
                <c:pt idx="1">
                  <c:v>0.56999999999999995</c:v>
                </c:pt>
                <c:pt idx="2">
                  <c:v>0.61799999999999999</c:v>
                </c:pt>
                <c:pt idx="3">
                  <c:v>0.58699999999999997</c:v>
                </c:pt>
                <c:pt idx="4">
                  <c:v>0.54700000000000004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84-4390-B07C-4119AC99C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524304"/>
        <c:axId val="600517584"/>
      </c:lineChart>
      <c:catAx>
        <c:axId val="60052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Transparency 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17584"/>
        <c:crosses val="autoZero"/>
        <c:auto val="1"/>
        <c:lblAlgn val="ctr"/>
        <c:lblOffset val="100"/>
        <c:noMultiLvlLbl val="0"/>
      </c:catAx>
      <c:valAx>
        <c:axId val="60051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2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9DED26-FD79-2DD1-173B-F10353920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B54DCE-9B21-3B1B-AF6C-FBC93F3A2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F6D6F1-6880-7CFF-764A-71803EA7B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70A3-706B-4615-BAD7-B1A775EE035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A0A7-10DF-45B8-BAD7-CCCD111F28C2}">
  <dimension ref="A1:K17"/>
  <sheetViews>
    <sheetView workbookViewId="0"/>
  </sheetViews>
  <sheetFormatPr defaultRowHeight="14.5" x14ac:dyDescent="0.35"/>
  <cols>
    <col min="1" max="1" width="34" bestFit="1" customWidth="1"/>
    <col min="2" max="2" width="11.81640625" bestFit="1" customWidth="1"/>
    <col min="3" max="3" width="10" bestFit="1" customWidth="1"/>
    <col min="4" max="4" width="23.90625" bestFit="1" customWidth="1"/>
    <col min="5" max="5" width="12.08984375" bestFit="1" customWidth="1"/>
    <col min="6" max="6" width="9.36328125" bestFit="1" customWidth="1"/>
    <col min="7" max="7" width="10.1796875" bestFit="1" customWidth="1"/>
    <col min="8" max="8" width="10.7265625" bestFit="1" customWidth="1"/>
    <col min="10" max="10" width="19.453125" bestFit="1" customWidth="1"/>
    <col min="11" max="11" width="72.90625" bestFit="1" customWidth="1"/>
  </cols>
  <sheetData>
    <row r="1" spans="1:11" ht="21" x14ac:dyDescent="0.5">
      <c r="A1" s="1" t="s">
        <v>0</v>
      </c>
    </row>
    <row r="3" spans="1:1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J3" s="2" t="s">
        <v>9</v>
      </c>
      <c r="K3" s="2" t="s">
        <v>10</v>
      </c>
    </row>
    <row r="4" spans="1:11" x14ac:dyDescent="0.35">
      <c r="A4" s="5">
        <v>10</v>
      </c>
      <c r="B4" s="3">
        <v>0.39700000000000002</v>
      </c>
      <c r="C4" s="3">
        <v>2.2700000000000001E-2</v>
      </c>
      <c r="D4" s="4">
        <v>-2.7E-2</v>
      </c>
      <c r="E4" s="4">
        <v>1.4599999999999999E-3</v>
      </c>
      <c r="F4" s="3">
        <f>SQRT(C4/J4)</f>
        <v>8.6986589004665923E-2</v>
      </c>
      <c r="G4" s="3">
        <f>B4-1.96*F4</f>
        <v>0.22650628555085481</v>
      </c>
      <c r="H4" s="3">
        <f>B4+1.96*F4</f>
        <v>0.5674937144491452</v>
      </c>
      <c r="J4">
        <v>3</v>
      </c>
    </row>
    <row r="5" spans="1:11" x14ac:dyDescent="0.35">
      <c r="A5" s="5">
        <v>20</v>
      </c>
      <c r="B5" s="3">
        <v>0.26300000000000001</v>
      </c>
      <c r="C5" s="3">
        <v>1.43E-2</v>
      </c>
      <c r="D5" s="4">
        <v>-9.5000000000000001E-2</v>
      </c>
      <c r="E5" s="4">
        <v>4.5799999999999999E-3</v>
      </c>
      <c r="F5" s="3">
        <f>SQRT(C5/J5)</f>
        <v>6.9041050590693265E-2</v>
      </c>
      <c r="G5" s="3">
        <f>B5-1.96*F5</f>
        <v>0.1276795408422412</v>
      </c>
      <c r="H5" s="3">
        <f>B5+1.96*F5</f>
        <v>0.39832045915775882</v>
      </c>
      <c r="J5">
        <v>3</v>
      </c>
    </row>
    <row r="6" spans="1:11" x14ac:dyDescent="0.35">
      <c r="A6" s="5">
        <v>50</v>
      </c>
      <c r="B6" s="3">
        <v>8.77E-2</v>
      </c>
      <c r="C6" s="3">
        <v>8.4000000000000003E-4</v>
      </c>
      <c r="D6" s="4">
        <v>-9.4E-2</v>
      </c>
      <c r="E6" s="4">
        <v>1.4500000000000001E-2</v>
      </c>
      <c r="F6" s="3">
        <f>SQRT(C6/J6)</f>
        <v>1.6733200530681513E-2</v>
      </c>
      <c r="G6" s="3">
        <f>B6-1.96*F6</f>
        <v>5.4902926959864234E-2</v>
      </c>
      <c r="H6" s="3">
        <f>B6+1.96*F6</f>
        <v>0.12049707304013577</v>
      </c>
      <c r="J6">
        <v>3</v>
      </c>
    </row>
    <row r="7" spans="1:11" x14ac:dyDescent="0.35">
      <c r="A7" s="5">
        <v>100</v>
      </c>
      <c r="B7" s="3">
        <v>6.0400000000000002E-2</v>
      </c>
      <c r="C7" s="3">
        <v>5.5000000000000003E-4</v>
      </c>
      <c r="D7" s="4">
        <v>-8.1000000000000003E-2</v>
      </c>
      <c r="E7" s="4">
        <v>1.24E-2</v>
      </c>
      <c r="F7" s="3">
        <f>SQRT(C7/J7)</f>
        <v>1.35400640077266E-2</v>
      </c>
      <c r="G7" s="3">
        <f>B7-1.96*F7</f>
        <v>3.3861474544855871E-2</v>
      </c>
      <c r="H7" s="3">
        <f>B7+1.96*F7</f>
        <v>8.6938525455144133E-2</v>
      </c>
      <c r="J7">
        <v>3</v>
      </c>
    </row>
    <row r="8" spans="1:11" x14ac:dyDescent="0.35">
      <c r="A8" s="5">
        <v>200</v>
      </c>
      <c r="B8" s="3">
        <v>3.9899999999999998E-2</v>
      </c>
      <c r="C8" s="3">
        <v>2.3000000000000001E-4</v>
      </c>
      <c r="D8" s="4">
        <v>-0.05</v>
      </c>
      <c r="E8" s="4">
        <v>2.3E-3</v>
      </c>
      <c r="F8" s="3">
        <f>SQRT(C8/J8)</f>
        <v>8.7559503577091316E-3</v>
      </c>
      <c r="G8" s="3">
        <f>B8-1.96*F8</f>
        <v>2.2738337298890101E-2</v>
      </c>
      <c r="H8" s="3">
        <f>B8+1.96*F8</f>
        <v>5.7061662701109891E-2</v>
      </c>
      <c r="J8">
        <v>3</v>
      </c>
    </row>
    <row r="9" spans="1:11" x14ac:dyDescent="0.35">
      <c r="A9" s="5">
        <v>500</v>
      </c>
      <c r="B9" s="3">
        <v>5.0500000000000003E-2</v>
      </c>
      <c r="C9" s="3">
        <v>4.2000000000000002E-4</v>
      </c>
      <c r="D9" s="4">
        <v>-0.02</v>
      </c>
      <c r="E9" s="4">
        <v>9.2000000000000003E-4</v>
      </c>
      <c r="F9" s="3">
        <f>SQRT(C9/J9)</f>
        <v>1.1832159566199233E-2</v>
      </c>
      <c r="G9" s="3">
        <f>B9-1.96*F9</f>
        <v>2.7308967250249505E-2</v>
      </c>
      <c r="H9" s="3">
        <f>B9+1.96*F9</f>
        <v>7.3691032749750501E-2</v>
      </c>
      <c r="J9">
        <v>3</v>
      </c>
    </row>
    <row r="10" spans="1:11" x14ac:dyDescent="0.35">
      <c r="A10" s="5">
        <v>1000</v>
      </c>
      <c r="B10" s="3">
        <v>2.9399999999999999E-2</v>
      </c>
      <c r="C10" s="3">
        <v>1.2999999999999999E-4</v>
      </c>
      <c r="D10" s="4">
        <v>-2.1999999999999999E-2</v>
      </c>
      <c r="E10" s="4">
        <v>2.7E-4</v>
      </c>
      <c r="F10" s="3">
        <f>SQRT(C10/J10)</f>
        <v>6.5828058860438327E-3</v>
      </c>
      <c r="G10" s="3">
        <f>B10-1.96*F10</f>
        <v>1.6497700463354088E-2</v>
      </c>
      <c r="H10" s="3">
        <f>B10+1.96*F10</f>
        <v>4.230229953664591E-2</v>
      </c>
      <c r="J10">
        <v>3</v>
      </c>
      <c r="K10" t="s">
        <v>11</v>
      </c>
    </row>
    <row r="12" spans="1:11" x14ac:dyDescent="0.35">
      <c r="J12" s="2" t="s">
        <v>12</v>
      </c>
      <c r="K12" s="2" t="s">
        <v>13</v>
      </c>
    </row>
    <row r="13" spans="1:11" x14ac:dyDescent="0.35">
      <c r="J13" t="s">
        <v>14</v>
      </c>
      <c r="K13" s="3">
        <f>AVERAGE(B4:B10)</f>
        <v>0.13255714285714287</v>
      </c>
    </row>
    <row r="14" spans="1:11" x14ac:dyDescent="0.35">
      <c r="J14" t="s">
        <v>15</v>
      </c>
      <c r="K14" s="3">
        <f>MIN(B4:B10)</f>
        <v>2.9399999999999999E-2</v>
      </c>
    </row>
    <row r="15" spans="1:11" x14ac:dyDescent="0.35">
      <c r="J15" t="s">
        <v>16</v>
      </c>
      <c r="K15" s="3">
        <f>MAX(B4:B10)</f>
        <v>0.39700000000000002</v>
      </c>
    </row>
    <row r="16" spans="1:11" x14ac:dyDescent="0.35">
      <c r="J16" t="s">
        <v>17</v>
      </c>
      <c r="K16" s="3">
        <f>AVERAGE(D4:D10)</f>
        <v>-5.557142857142857E-2</v>
      </c>
    </row>
    <row r="17" spans="10:11" x14ac:dyDescent="0.35">
      <c r="J17" t="s">
        <v>18</v>
      </c>
      <c r="K17" t="s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36EA-E9F7-4164-BAF6-AF7C759BA608}">
  <dimension ref="A1:G8"/>
  <sheetViews>
    <sheetView workbookViewId="0"/>
  </sheetViews>
  <sheetFormatPr defaultRowHeight="14.5" x14ac:dyDescent="0.35"/>
  <cols>
    <col min="1" max="1" width="48.7265625" bestFit="1" customWidth="1"/>
    <col min="2" max="2" width="9.26953125" bestFit="1" customWidth="1"/>
    <col min="3" max="3" width="6.6328125" bestFit="1" customWidth="1"/>
    <col min="4" max="4" width="18.81640625" bestFit="1" customWidth="1"/>
    <col min="6" max="6" width="23.26953125" bestFit="1" customWidth="1"/>
    <col min="7" max="7" width="57.54296875" bestFit="1" customWidth="1"/>
  </cols>
  <sheetData>
    <row r="1" spans="1:7" ht="21" x14ac:dyDescent="0.5">
      <c r="A1" s="1" t="s">
        <v>20</v>
      </c>
    </row>
    <row r="3" spans="1:7" x14ac:dyDescent="0.35">
      <c r="A3" s="2" t="s">
        <v>21</v>
      </c>
      <c r="B3" s="2" t="s">
        <v>22</v>
      </c>
      <c r="C3" s="2" t="s">
        <v>23</v>
      </c>
      <c r="D3" s="2" t="s">
        <v>24</v>
      </c>
      <c r="F3" s="2" t="s">
        <v>12</v>
      </c>
      <c r="G3" s="2" t="s">
        <v>13</v>
      </c>
    </row>
    <row r="4" spans="1:7" x14ac:dyDescent="0.35">
      <c r="A4" t="s">
        <v>25</v>
      </c>
      <c r="B4" s="6">
        <v>0.11899999999999999</v>
      </c>
      <c r="C4" s="6">
        <v>0.10299999999999999</v>
      </c>
      <c r="D4" s="6">
        <f>B4-C4</f>
        <v>1.6E-2</v>
      </c>
      <c r="F4" t="s">
        <v>30</v>
      </c>
      <c r="G4" s="4">
        <f>SQRT(SUMXMY2(B4:B8,C4:C8))</f>
        <v>4.4384682042344324E-2</v>
      </c>
    </row>
    <row r="5" spans="1:7" x14ac:dyDescent="0.35">
      <c r="A5" t="s">
        <v>26</v>
      </c>
      <c r="B5" s="6">
        <v>0.29399999999999998</v>
      </c>
      <c r="C5" s="6">
        <v>0.32900000000000001</v>
      </c>
      <c r="D5" s="6">
        <f>B5-C5</f>
        <v>-3.5000000000000031E-2</v>
      </c>
      <c r="F5" t="s">
        <v>31</v>
      </c>
      <c r="G5" s="4">
        <v>-2.1499999999999998E-2</v>
      </c>
    </row>
    <row r="6" spans="1:7" x14ac:dyDescent="0.35">
      <c r="A6" t="s">
        <v>27</v>
      </c>
      <c r="B6" s="6">
        <v>0.34300000000000003</v>
      </c>
      <c r="C6" s="6">
        <v>0.32400000000000001</v>
      </c>
      <c r="D6" s="6">
        <f>B6-C6</f>
        <v>1.9000000000000017E-2</v>
      </c>
      <c r="F6" t="s">
        <v>18</v>
      </c>
      <c r="G6" t="s">
        <v>32</v>
      </c>
    </row>
    <row r="7" spans="1:7" x14ac:dyDescent="0.35">
      <c r="A7" t="s">
        <v>28</v>
      </c>
      <c r="B7" s="6">
        <v>0.114</v>
      </c>
      <c r="C7" s="6">
        <v>0.106</v>
      </c>
      <c r="D7" s="6">
        <f>B7-C7</f>
        <v>8.0000000000000071E-3</v>
      </c>
      <c r="F7" t="s">
        <v>33</v>
      </c>
      <c r="G7" t="s">
        <v>34</v>
      </c>
    </row>
    <row r="8" spans="1:7" x14ac:dyDescent="0.35">
      <c r="A8" t="s">
        <v>29</v>
      </c>
      <c r="B8" s="6">
        <v>0.13</v>
      </c>
      <c r="C8" s="6">
        <v>0.13800000000000001</v>
      </c>
      <c r="D8" s="6">
        <f>B8-C8</f>
        <v>-8.0000000000000071E-3</v>
      </c>
      <c r="F8" t="s">
        <v>35</v>
      </c>
      <c r="G8" t="s">
        <v>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24B2-1D1D-4915-9E2A-FF3330B773FB}">
  <dimension ref="A1:G8"/>
  <sheetViews>
    <sheetView workbookViewId="0"/>
  </sheetViews>
  <sheetFormatPr defaultRowHeight="14.5" x14ac:dyDescent="0.35"/>
  <cols>
    <col min="1" max="1" width="40.453125" bestFit="1" customWidth="1"/>
    <col min="2" max="2" width="7.1796875" bestFit="1" customWidth="1"/>
    <col min="3" max="3" width="21.7265625" bestFit="1" customWidth="1"/>
    <col min="4" max="4" width="10.36328125" bestFit="1" customWidth="1"/>
    <col min="6" max="6" width="18.54296875" bestFit="1" customWidth="1"/>
    <col min="7" max="7" width="63.36328125" bestFit="1" customWidth="1"/>
  </cols>
  <sheetData>
    <row r="1" spans="1:7" ht="21" x14ac:dyDescent="0.5">
      <c r="A1" s="1" t="s">
        <v>37</v>
      </c>
    </row>
    <row r="3" spans="1:7" x14ac:dyDescent="0.35">
      <c r="A3" s="2" t="s">
        <v>38</v>
      </c>
      <c r="B3" s="2" t="s">
        <v>39</v>
      </c>
      <c r="C3" s="2" t="s">
        <v>40</v>
      </c>
      <c r="D3" s="2" t="s">
        <v>41</v>
      </c>
      <c r="F3" s="2" t="s">
        <v>12</v>
      </c>
      <c r="G3" s="2" t="s">
        <v>13</v>
      </c>
    </row>
    <row r="4" spans="1:7" x14ac:dyDescent="0.35">
      <c r="A4" s="7">
        <v>0</v>
      </c>
      <c r="B4" s="7">
        <v>0.55800000000000005</v>
      </c>
      <c r="C4" s="7">
        <v>0.60699999999999998</v>
      </c>
      <c r="D4" s="7">
        <f>(B5-B4)/(A5-A4)</f>
        <v>-2.4000000000000021E-2</v>
      </c>
      <c r="F4" t="s">
        <v>42</v>
      </c>
      <c r="G4" s="4">
        <f>SLOPE(B4:B8,A4:A8)</f>
        <v>-8.8000000000000075E-3</v>
      </c>
    </row>
    <row r="5" spans="1:7" x14ac:dyDescent="0.35">
      <c r="A5" s="7">
        <v>0.25</v>
      </c>
      <c r="B5" s="7">
        <v>0.55200000000000005</v>
      </c>
      <c r="C5" s="7">
        <v>0.56999999999999995</v>
      </c>
      <c r="D5" s="7">
        <f>(B6-B4)/(A6-A4)</f>
        <v>-1.2000000000000011E-2</v>
      </c>
      <c r="F5" t="s">
        <v>18</v>
      </c>
      <c r="G5" t="s">
        <v>43</v>
      </c>
    </row>
    <row r="6" spans="1:7" x14ac:dyDescent="0.35">
      <c r="A6" s="7">
        <v>0.5</v>
      </c>
      <c r="B6" s="7">
        <v>0.55200000000000005</v>
      </c>
      <c r="C6" s="7">
        <v>0.61799999999999999</v>
      </c>
      <c r="D6" s="7">
        <f>(B7-B5)/(A7-A5)</f>
        <v>-4.0000000000000036E-3</v>
      </c>
      <c r="F6" t="s">
        <v>44</v>
      </c>
      <c r="G6" t="s">
        <v>45</v>
      </c>
    </row>
    <row r="7" spans="1:7" x14ac:dyDescent="0.35">
      <c r="A7" s="7">
        <v>0.75</v>
      </c>
      <c r="B7" s="7">
        <v>0.55000000000000004</v>
      </c>
      <c r="C7" s="7">
        <v>0.58699999999999997</v>
      </c>
      <c r="D7" s="7">
        <f>(B8-B6)/(A8-A6)</f>
        <v>-8.0000000000000071E-3</v>
      </c>
      <c r="F7" t="s">
        <v>46</v>
      </c>
      <c r="G7" t="s">
        <v>47</v>
      </c>
    </row>
    <row r="8" spans="1:7" x14ac:dyDescent="0.35">
      <c r="A8" s="7">
        <v>1</v>
      </c>
      <c r="B8" s="7">
        <v>0.54800000000000004</v>
      </c>
      <c r="C8" s="7">
        <v>0.54700000000000004</v>
      </c>
      <c r="D8" s="7">
        <f>(B8-B7)/(A8-A7)</f>
        <v>-8.0000000000000071E-3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268C-D7F8-446E-ADC7-880A3110C468}">
  <dimension ref="A1:E10"/>
  <sheetViews>
    <sheetView tabSelected="1" workbookViewId="0"/>
  </sheetViews>
  <sheetFormatPr defaultRowHeight="14.5" x14ac:dyDescent="0.35"/>
  <cols>
    <col min="1" max="1" width="24.90625" bestFit="1" customWidth="1"/>
    <col min="2" max="2" width="80.6328125" bestFit="1" customWidth="1"/>
    <col min="4" max="4" width="22.08984375" bestFit="1" customWidth="1"/>
    <col min="5" max="5" width="14" bestFit="1" customWidth="1"/>
  </cols>
  <sheetData>
    <row r="1" spans="1:5" ht="21" x14ac:dyDescent="0.5">
      <c r="A1" s="1" t="s">
        <v>48</v>
      </c>
    </row>
    <row r="3" spans="1:5" x14ac:dyDescent="0.35">
      <c r="A3" s="2" t="s">
        <v>49</v>
      </c>
      <c r="B3" s="2" t="s">
        <v>50</v>
      </c>
      <c r="D3" s="2" t="s">
        <v>62</v>
      </c>
      <c r="E3" s="2" t="s">
        <v>63</v>
      </c>
    </row>
    <row r="4" spans="1:5" x14ac:dyDescent="0.35">
      <c r="A4" t="s">
        <v>51</v>
      </c>
      <c r="B4" t="s">
        <v>52</v>
      </c>
      <c r="D4" t="s">
        <v>64</v>
      </c>
      <c r="E4">
        <f>Pair1000!G4</f>
        <v>4.4384682042344324E-2</v>
      </c>
    </row>
    <row r="5" spans="1:5" x14ac:dyDescent="0.35">
      <c r="A5" t="s">
        <v>53</v>
      </c>
      <c r="B5" t="s">
        <v>54</v>
      </c>
      <c r="D5" t="s">
        <v>65</v>
      </c>
      <c r="E5">
        <f>Sweep!K13</f>
        <v>0.13255714285714287</v>
      </c>
    </row>
    <row r="6" spans="1:5" x14ac:dyDescent="0.35">
      <c r="A6" t="s">
        <v>55</v>
      </c>
      <c r="B6" t="s">
        <v>56</v>
      </c>
      <c r="D6" t="s">
        <v>17</v>
      </c>
      <c r="E6">
        <f>Sweep!K16</f>
        <v>-5.557142857142857E-2</v>
      </c>
    </row>
    <row r="7" spans="1:5" x14ac:dyDescent="0.35">
      <c r="A7" t="s">
        <v>18</v>
      </c>
      <c r="B7" t="s">
        <v>57</v>
      </c>
      <c r="D7" t="s">
        <v>66</v>
      </c>
      <c r="E7">
        <f>Intensity!G4</f>
        <v>-8.8000000000000075E-3</v>
      </c>
    </row>
    <row r="8" spans="1:5" x14ac:dyDescent="0.35">
      <c r="A8" t="s">
        <v>33</v>
      </c>
      <c r="B8" t="s">
        <v>58</v>
      </c>
    </row>
    <row r="9" spans="1:5" x14ac:dyDescent="0.35">
      <c r="A9" t="s">
        <v>59</v>
      </c>
      <c r="B9" t="s">
        <v>60</v>
      </c>
    </row>
    <row r="10" spans="1:5" x14ac:dyDescent="0.35">
      <c r="A10" t="s">
        <v>46</v>
      </c>
      <c r="B1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Sweep</vt:lpstr>
      <vt:lpstr>Pair1000</vt:lpstr>
      <vt:lpstr>Intensity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karsch</dc:creator>
  <cp:lastModifiedBy>tim karsch</cp:lastModifiedBy>
  <dcterms:created xsi:type="dcterms:W3CDTF">2026-03-28T03:57:30Z</dcterms:created>
  <dcterms:modified xsi:type="dcterms:W3CDTF">2026-03-28T04:00:49Z</dcterms:modified>
</cp:coreProperties>
</file>